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040b68bbcb8e53b/Escritorio/CursoLibre190326/"/>
    </mc:Choice>
  </mc:AlternateContent>
  <xr:revisionPtr revIDLastSave="205" documentId="11_77380288114EEACEEB3B98154B5DCE3A17C796F2" xr6:coauthVersionLast="47" xr6:coauthVersionMax="47" xr10:uidLastSave="{757262E0-D1CD-4857-8FA6-11EB4EDF64BC}"/>
  <bookViews>
    <workbookView xWindow="-120" yWindow="-120" windowWidth="20730" windowHeight="11040" xr2:uid="{00000000-000D-0000-FFFF-FFFF00000000}"/>
  </bookViews>
  <sheets>
    <sheet name="Encuesta_Su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H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E4" i="1"/>
  <c r="H4" i="1"/>
</calcChain>
</file>

<file path=xl/sharedStrings.xml><?xml version="1.0" encoding="utf-8"?>
<sst xmlns="http://schemas.openxmlformats.org/spreadsheetml/2006/main" count="410" uniqueCount="116">
  <si>
    <t>DPI</t>
  </si>
  <si>
    <t>Nombre</t>
  </si>
  <si>
    <t>Departamento</t>
  </si>
  <si>
    <t>Destino a visitar</t>
  </si>
  <si>
    <t>Monto a gastar</t>
  </si>
  <si>
    <t>Fecha</t>
  </si>
  <si>
    <t>Tipo de hospedaje</t>
  </si>
  <si>
    <t>Motivo de viaje</t>
  </si>
  <si>
    <t>2320-389284583</t>
  </si>
  <si>
    <t>ana martinez</t>
  </si>
  <si>
    <t>Huehuetenango</t>
  </si>
  <si>
    <t>Antigua Guatemala</t>
  </si>
  <si>
    <t>500</t>
  </si>
  <si>
    <t>17/03/2026</t>
  </si>
  <si>
    <t>Familiar</t>
  </si>
  <si>
    <t>Religioso</t>
  </si>
  <si>
    <t>7914-344822219</t>
  </si>
  <si>
    <t>Carlos Gomez</t>
  </si>
  <si>
    <t>Guatemala</t>
  </si>
  <si>
    <t>Lago Atitlan</t>
  </si>
  <si>
    <t>Q1,200</t>
  </si>
  <si>
    <t>07/03/2026</t>
  </si>
  <si>
    <t>hotel</t>
  </si>
  <si>
    <t>Aventura</t>
  </si>
  <si>
    <t>6542753856742</t>
  </si>
  <si>
    <t>quetzaltenango</t>
  </si>
  <si>
    <t>SEMUC CHAMPEY</t>
  </si>
  <si>
    <t xml:space="preserve"> 750 </t>
  </si>
  <si>
    <t>12/03/2026</t>
  </si>
  <si>
    <t>airbnb</t>
  </si>
  <si>
    <t>VACACIONES</t>
  </si>
  <si>
    <t>1577759458789</t>
  </si>
  <si>
    <t>Q500</t>
  </si>
  <si>
    <t>25/03/2026</t>
  </si>
  <si>
    <t>Airbnb</t>
  </si>
  <si>
    <t>5967313965381</t>
  </si>
  <si>
    <t>tikal</t>
  </si>
  <si>
    <t>03/03/2026</t>
  </si>
  <si>
    <t>religioso</t>
  </si>
  <si>
    <t xml:space="preserve"> 4044105921994 </t>
  </si>
  <si>
    <t>ALTA VERAPAZ</t>
  </si>
  <si>
    <t>06/03/2026</t>
  </si>
  <si>
    <t>6941-488573552</t>
  </si>
  <si>
    <t>02/03/2026</t>
  </si>
  <si>
    <t>vacaciones</t>
  </si>
  <si>
    <t>3107600815915</t>
  </si>
  <si>
    <t>juan perez</t>
  </si>
  <si>
    <t>08/03/2026</t>
  </si>
  <si>
    <t>HOTEL</t>
  </si>
  <si>
    <t>2773489872990</t>
  </si>
  <si>
    <t>13/03/2026</t>
  </si>
  <si>
    <t>3812 307365167</t>
  </si>
  <si>
    <t>LUIS RODRIGUEZ</t>
  </si>
  <si>
    <t>04/03/2026</t>
  </si>
  <si>
    <t>8228 283004782</t>
  </si>
  <si>
    <t>MARIA LOPEZ</t>
  </si>
  <si>
    <t>19/03/2026</t>
  </si>
  <si>
    <t>7894218303179</t>
  </si>
  <si>
    <t>IRTRA</t>
  </si>
  <si>
    <t>31/03/2026</t>
  </si>
  <si>
    <t>familiar</t>
  </si>
  <si>
    <t>8636-058783876</t>
  </si>
  <si>
    <t>20/03/2026</t>
  </si>
  <si>
    <t>9059507355807</t>
  </si>
  <si>
    <t>16/03/2026</t>
  </si>
  <si>
    <t>1499625067654</t>
  </si>
  <si>
    <t>26/03/2026</t>
  </si>
  <si>
    <t>8976-289894636</t>
  </si>
  <si>
    <t>29/03/2026</t>
  </si>
  <si>
    <t>6738 053822652</t>
  </si>
  <si>
    <t>7993586431890</t>
  </si>
  <si>
    <t>3914740853752</t>
  </si>
  <si>
    <t>1072988565677</t>
  </si>
  <si>
    <t>10/03/2026</t>
  </si>
  <si>
    <t>8078696909925</t>
  </si>
  <si>
    <t>24/03/2026</t>
  </si>
  <si>
    <t>6620 392412678</t>
  </si>
  <si>
    <t>6615 395362908</t>
  </si>
  <si>
    <t>05/03/2026</t>
  </si>
  <si>
    <t>5784-007755964</t>
  </si>
  <si>
    <t>01/03/2026</t>
  </si>
  <si>
    <t>aventura</t>
  </si>
  <si>
    <t>6663 498945630</t>
  </si>
  <si>
    <t>30/03/2026</t>
  </si>
  <si>
    <t>3550 421682244</t>
  </si>
  <si>
    <t>15/03/2026</t>
  </si>
  <si>
    <t>4460-537979266</t>
  </si>
  <si>
    <t>1508 525075108</t>
  </si>
  <si>
    <t>27/03/2026</t>
  </si>
  <si>
    <t>3657421609846</t>
  </si>
  <si>
    <t>21/03/2026</t>
  </si>
  <si>
    <t>2946 323440403</t>
  </si>
  <si>
    <t>6272-917573717</t>
  </si>
  <si>
    <t>8900 889675675</t>
  </si>
  <si>
    <t xml:space="preserve"> 5548661000879 </t>
  </si>
  <si>
    <t>4620 876229052</t>
  </si>
  <si>
    <t>4095 432068303</t>
  </si>
  <si>
    <t>22/03/2026</t>
  </si>
  <si>
    <t>1626800488777</t>
  </si>
  <si>
    <t>2795-391089343</t>
  </si>
  <si>
    <t>4703 935237135</t>
  </si>
  <si>
    <t>9166631329792</t>
  </si>
  <si>
    <t xml:space="preserve"> 6890144482094 </t>
  </si>
  <si>
    <t>9177 743215648</t>
  </si>
  <si>
    <t>5951254961239</t>
  </si>
  <si>
    <t>5957-656469295</t>
  </si>
  <si>
    <t xml:space="preserve"> 7426141580150 </t>
  </si>
  <si>
    <t>9715003168912</t>
  </si>
  <si>
    <t>14/03/2026</t>
  </si>
  <si>
    <t>9085 470421811</t>
  </si>
  <si>
    <t>11/03/2026</t>
  </si>
  <si>
    <t xml:space="preserve"> 2071951315973 </t>
  </si>
  <si>
    <t xml:space="preserve"> 2913712964225 </t>
  </si>
  <si>
    <t xml:space="preserve"> 4492244427100 </t>
  </si>
  <si>
    <t>3545 291376323</t>
  </si>
  <si>
    <t>MERCEDES QUEME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</si>
</sst>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topLeftCell="B1" zoomScale="110" zoomScaleNormal="110" workbookViewId="0">
      <selection activeCell="E11" sqref="E11"/>
    </sheetView>
  </sheetViews>
  <sheetFormatPr baseColWidth="10" defaultColWidth="9.140625" defaultRowHeight="15" outlineLevelCol="2" x14ac:dyDescent="0.25"/>
  <cols>
    <col min="4" max="4" width="23.7109375" customWidth="1"/>
    <col min="5" max="6" width="23.7109375" hidden="1" customWidth="1" outlineLevel="1"/>
    <col min="7" max="7" width="7.85546875" style="1" customWidth="1" collapsed="1"/>
    <col min="8" max="8" width="35.85546875" hidden="1" customWidth="1" outlineLevel="2" collapsed="1"/>
    <col min="9" max="9" width="10.42578125" hidden="1" customWidth="1" outlineLevel="2"/>
    <col min="10" max="10" width="27.140625" customWidth="1" collapsed="1"/>
    <col min="11" max="11" width="22.7109375" customWidth="1"/>
    <col min="12" max="12" width="27" customWidth="1"/>
    <col min="13" max="13" width="21" customWidth="1"/>
    <col min="14" max="14" width="15.7109375" customWidth="1"/>
    <col min="15" max="15" width="23" customWidth="1"/>
  </cols>
  <sheetData>
    <row r="1" spans="1:18" s="3" customFormat="1" ht="35.25" customHeight="1" x14ac:dyDescent="0.25">
      <c r="A1" s="5" t="s">
        <v>115</v>
      </c>
      <c r="B1" s="5"/>
      <c r="C1" s="5"/>
      <c r="D1" s="5"/>
      <c r="E1" s="5"/>
      <c r="F1" s="5"/>
      <c r="G1" s="5"/>
      <c r="L1" s="5" t="s">
        <v>115</v>
      </c>
      <c r="M1" s="5"/>
      <c r="N1" s="5"/>
      <c r="O1" s="5"/>
      <c r="P1" s="5"/>
      <c r="Q1" s="5"/>
      <c r="R1" s="5"/>
    </row>
    <row r="2" spans="1:18" ht="20.25" customHeight="1" x14ac:dyDescent="0.25">
      <c r="A2" s="4"/>
      <c r="B2" s="4"/>
      <c r="C2" s="4"/>
      <c r="D2" s="4"/>
      <c r="E2" s="4"/>
      <c r="F2" s="4"/>
      <c r="G2" s="4"/>
      <c r="L2" s="4"/>
      <c r="M2" s="4"/>
      <c r="N2" s="4"/>
      <c r="O2" s="4"/>
      <c r="P2" s="4"/>
      <c r="Q2" s="4"/>
      <c r="R2" s="4"/>
    </row>
    <row r="4" spans="1:18" x14ac:dyDescent="0.25">
      <c r="D4" t="s">
        <v>0</v>
      </c>
      <c r="E4" s="2" t="str">
        <f ca="1">_xlfn.FORMULATEXT(E5)</f>
        <v>=ESPACIOS(LIMPIAR(SUSTITUIR(D5;"-";"")))</v>
      </c>
      <c r="H4" s="2" t="str">
        <f ca="1">_xlfn.FORMULATEXT(H5)</f>
        <v>=SUSTITUIR(SUSTITUIR(D5;" ";"");"-";"")</v>
      </c>
      <c r="J4" t="s">
        <v>1</v>
      </c>
      <c r="K4" t="s">
        <v>2</v>
      </c>
      <c r="L4" t="s">
        <v>3</v>
      </c>
      <c r="M4" t="s">
        <v>4</v>
      </c>
      <c r="N4" t="s">
        <v>5</v>
      </c>
      <c r="O4" t="s">
        <v>6</v>
      </c>
      <c r="P4" t="s">
        <v>7</v>
      </c>
    </row>
    <row r="5" spans="1:18" x14ac:dyDescent="0.25">
      <c r="D5" t="s">
        <v>8</v>
      </c>
      <c r="E5" t="str">
        <f>TRIM(CLEAN(SUBSTITUTE(D5,"-","")))</f>
        <v>2320389284583</v>
      </c>
      <c r="H5" t="str">
        <f>SUBSTITUTE(SUBSTITUTE(D5," ",""),"-","")</f>
        <v>2320389284583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</row>
    <row r="6" spans="1:18" x14ac:dyDescent="0.25">
      <c r="D6" t="s">
        <v>16</v>
      </c>
      <c r="E6" t="str">
        <f t="shared" ref="E6:E54" si="0">TRIM(CLEAN(SUBSTITUTE(D6,"-","")))</f>
        <v>7914344822219</v>
      </c>
      <c r="H6" t="str">
        <f t="shared" ref="H6:H54" si="1">SUBSTITUTE(SUBSTITUTE(D6," ",""),"-","")</f>
        <v>7914344822219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</row>
    <row r="7" spans="1:18" x14ac:dyDescent="0.25">
      <c r="D7" t="s">
        <v>24</v>
      </c>
      <c r="E7" t="str">
        <f t="shared" si="0"/>
        <v>6542753856742</v>
      </c>
      <c r="H7" t="str">
        <f t="shared" si="1"/>
        <v>6542753856742</v>
      </c>
      <c r="J7" t="s">
        <v>9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</row>
    <row r="8" spans="1:18" x14ac:dyDescent="0.25">
      <c r="D8" t="s">
        <v>31</v>
      </c>
      <c r="E8" t="str">
        <f t="shared" si="0"/>
        <v>1577759458789</v>
      </c>
      <c r="H8" t="str">
        <f t="shared" si="1"/>
        <v>1577759458789</v>
      </c>
      <c r="J8" t="s">
        <v>17</v>
      </c>
      <c r="K8" t="s">
        <v>25</v>
      </c>
      <c r="L8" t="s">
        <v>11</v>
      </c>
      <c r="M8" t="s">
        <v>32</v>
      </c>
      <c r="N8" t="s">
        <v>33</v>
      </c>
      <c r="O8" t="s">
        <v>34</v>
      </c>
      <c r="P8" t="s">
        <v>30</v>
      </c>
    </row>
    <row r="9" spans="1:18" x14ac:dyDescent="0.25">
      <c r="D9" t="s">
        <v>35</v>
      </c>
      <c r="E9" t="str">
        <f t="shared" si="0"/>
        <v>5967313965381</v>
      </c>
      <c r="H9" t="str">
        <f t="shared" si="1"/>
        <v>5967313965381</v>
      </c>
      <c r="J9" t="s">
        <v>17</v>
      </c>
      <c r="K9" t="s">
        <v>18</v>
      </c>
      <c r="L9" t="s">
        <v>36</v>
      </c>
      <c r="M9" t="s">
        <v>27</v>
      </c>
      <c r="N9" t="s">
        <v>37</v>
      </c>
      <c r="O9" t="s">
        <v>14</v>
      </c>
      <c r="P9" t="s">
        <v>38</v>
      </c>
    </row>
    <row r="10" spans="1:18" x14ac:dyDescent="0.25">
      <c r="D10" t="s">
        <v>39</v>
      </c>
      <c r="E10" t="str">
        <f t="shared" si="0"/>
        <v>4044105921994</v>
      </c>
      <c r="H10" t="str">
        <f t="shared" si="1"/>
        <v>4044105921994</v>
      </c>
      <c r="J10" t="s">
        <v>9</v>
      </c>
      <c r="K10" t="s">
        <v>40</v>
      </c>
      <c r="L10" t="s">
        <v>11</v>
      </c>
      <c r="M10" t="s">
        <v>12</v>
      </c>
      <c r="N10" t="s">
        <v>41</v>
      </c>
      <c r="O10" t="s">
        <v>29</v>
      </c>
      <c r="P10" t="s">
        <v>15</v>
      </c>
    </row>
    <row r="11" spans="1:18" x14ac:dyDescent="0.25">
      <c r="D11" t="s">
        <v>42</v>
      </c>
      <c r="E11" t="str">
        <f t="shared" si="0"/>
        <v>6941488573552</v>
      </c>
      <c r="H11" t="str">
        <f t="shared" si="1"/>
        <v>6941488573552</v>
      </c>
      <c r="J11" t="s">
        <v>9</v>
      </c>
      <c r="K11" t="s">
        <v>18</v>
      </c>
      <c r="L11" t="s">
        <v>19</v>
      </c>
      <c r="M11" t="s">
        <v>32</v>
      </c>
      <c r="N11" t="s">
        <v>43</v>
      </c>
      <c r="O11" t="s">
        <v>34</v>
      </c>
      <c r="P11" t="s">
        <v>44</v>
      </c>
    </row>
    <row r="12" spans="1:18" x14ac:dyDescent="0.25">
      <c r="D12" t="s">
        <v>45</v>
      </c>
      <c r="E12" t="str">
        <f t="shared" si="0"/>
        <v>3107600815915</v>
      </c>
      <c r="H12" t="str">
        <f t="shared" si="1"/>
        <v>3107600815915</v>
      </c>
      <c r="J12" t="s">
        <v>46</v>
      </c>
      <c r="K12" t="s">
        <v>18</v>
      </c>
      <c r="L12" t="s">
        <v>36</v>
      </c>
      <c r="M12" t="s">
        <v>12</v>
      </c>
      <c r="N12" t="s">
        <v>47</v>
      </c>
      <c r="O12" t="s">
        <v>48</v>
      </c>
      <c r="P12" t="s">
        <v>23</v>
      </c>
    </row>
    <row r="13" spans="1:18" x14ac:dyDescent="0.25">
      <c r="D13" t="s">
        <v>49</v>
      </c>
      <c r="E13" t="str">
        <f t="shared" si="0"/>
        <v>2773489872990</v>
      </c>
      <c r="H13" t="str">
        <f t="shared" si="1"/>
        <v>2773489872990</v>
      </c>
      <c r="J13" t="s">
        <v>9</v>
      </c>
      <c r="K13" t="s">
        <v>25</v>
      </c>
      <c r="L13" t="s">
        <v>19</v>
      </c>
      <c r="M13" t="s">
        <v>12</v>
      </c>
      <c r="N13" t="s">
        <v>50</v>
      </c>
      <c r="O13" t="s">
        <v>34</v>
      </c>
      <c r="P13" t="s">
        <v>23</v>
      </c>
    </row>
    <row r="14" spans="1:18" x14ac:dyDescent="0.25">
      <c r="D14" t="s">
        <v>51</v>
      </c>
      <c r="E14" t="str">
        <f t="shared" si="0"/>
        <v>3812 307365167</v>
      </c>
      <c r="H14" t="str">
        <f t="shared" si="1"/>
        <v>3812307365167</v>
      </c>
      <c r="J14" t="s">
        <v>52</v>
      </c>
      <c r="K14" t="s">
        <v>18</v>
      </c>
      <c r="L14" t="s">
        <v>26</v>
      </c>
      <c r="M14" t="s">
        <v>20</v>
      </c>
      <c r="N14" t="s">
        <v>53</v>
      </c>
      <c r="O14" t="s">
        <v>29</v>
      </c>
      <c r="P14" t="s">
        <v>44</v>
      </c>
    </row>
    <row r="15" spans="1:18" x14ac:dyDescent="0.25">
      <c r="D15" t="s">
        <v>54</v>
      </c>
      <c r="E15" t="str">
        <f t="shared" si="0"/>
        <v>8228 283004782</v>
      </c>
      <c r="H15" t="str">
        <f t="shared" si="1"/>
        <v>8228283004782</v>
      </c>
      <c r="J15" t="s">
        <v>55</v>
      </c>
      <c r="K15" t="s">
        <v>25</v>
      </c>
      <c r="L15" t="s">
        <v>26</v>
      </c>
      <c r="M15" t="s">
        <v>20</v>
      </c>
      <c r="N15" t="s">
        <v>56</v>
      </c>
      <c r="O15" t="s">
        <v>48</v>
      </c>
      <c r="P15" t="s">
        <v>15</v>
      </c>
    </row>
    <row r="16" spans="1:18" x14ac:dyDescent="0.25">
      <c r="D16" t="s">
        <v>57</v>
      </c>
      <c r="E16" t="str">
        <f t="shared" si="0"/>
        <v>7894218303179</v>
      </c>
      <c r="H16" t="str">
        <f t="shared" si="1"/>
        <v>7894218303179</v>
      </c>
      <c r="J16" t="s">
        <v>55</v>
      </c>
      <c r="K16" t="s">
        <v>10</v>
      </c>
      <c r="L16" t="s">
        <v>58</v>
      </c>
      <c r="M16" t="s">
        <v>32</v>
      </c>
      <c r="N16" t="s">
        <v>59</v>
      </c>
      <c r="O16" t="s">
        <v>60</v>
      </c>
      <c r="P16" t="s">
        <v>38</v>
      </c>
    </row>
    <row r="17" spans="4:16" x14ac:dyDescent="0.25">
      <c r="D17" t="s">
        <v>61</v>
      </c>
      <c r="E17" t="str">
        <f t="shared" si="0"/>
        <v>8636058783876</v>
      </c>
      <c r="H17" t="str">
        <f t="shared" si="1"/>
        <v>8636058783876</v>
      </c>
      <c r="J17" t="s">
        <v>46</v>
      </c>
      <c r="K17" t="s">
        <v>10</v>
      </c>
      <c r="L17" t="s">
        <v>58</v>
      </c>
      <c r="M17" t="s">
        <v>20</v>
      </c>
      <c r="N17" t="s">
        <v>62</v>
      </c>
      <c r="O17" t="s">
        <v>34</v>
      </c>
      <c r="P17" t="s">
        <v>30</v>
      </c>
    </row>
    <row r="18" spans="4:16" x14ac:dyDescent="0.25">
      <c r="D18" t="s">
        <v>63</v>
      </c>
      <c r="E18" t="str">
        <f t="shared" si="0"/>
        <v>9059507355807</v>
      </c>
      <c r="H18" t="str">
        <f t="shared" si="1"/>
        <v>9059507355807</v>
      </c>
      <c r="J18" t="s">
        <v>17</v>
      </c>
      <c r="K18" t="s">
        <v>18</v>
      </c>
      <c r="L18" t="s">
        <v>19</v>
      </c>
      <c r="M18" t="s">
        <v>20</v>
      </c>
      <c r="N18" t="s">
        <v>64</v>
      </c>
      <c r="O18" t="s">
        <v>22</v>
      </c>
      <c r="P18" t="s">
        <v>30</v>
      </c>
    </row>
    <row r="19" spans="4:16" x14ac:dyDescent="0.25">
      <c r="D19" t="s">
        <v>65</v>
      </c>
      <c r="E19" t="str">
        <f t="shared" si="0"/>
        <v>1499625067654</v>
      </c>
      <c r="H19" t="str">
        <f t="shared" si="1"/>
        <v>1499625067654</v>
      </c>
      <c r="J19" t="s">
        <v>17</v>
      </c>
      <c r="K19" t="s">
        <v>40</v>
      </c>
      <c r="L19" t="s">
        <v>11</v>
      </c>
      <c r="M19" t="s">
        <v>32</v>
      </c>
      <c r="N19" t="s">
        <v>66</v>
      </c>
      <c r="O19" t="s">
        <v>60</v>
      </c>
      <c r="P19" t="s">
        <v>23</v>
      </c>
    </row>
    <row r="20" spans="4:16" x14ac:dyDescent="0.25">
      <c r="D20" t="s">
        <v>67</v>
      </c>
      <c r="E20" t="str">
        <f t="shared" si="0"/>
        <v>8976289894636</v>
      </c>
      <c r="H20" t="str">
        <f t="shared" si="1"/>
        <v>8976289894636</v>
      </c>
      <c r="J20" t="s">
        <v>52</v>
      </c>
      <c r="K20" t="s">
        <v>40</v>
      </c>
      <c r="L20" t="s">
        <v>58</v>
      </c>
      <c r="M20" t="s">
        <v>32</v>
      </c>
      <c r="N20" t="s">
        <v>68</v>
      </c>
      <c r="O20" t="s">
        <v>48</v>
      </c>
      <c r="P20" t="s">
        <v>38</v>
      </c>
    </row>
    <row r="21" spans="4:16" x14ac:dyDescent="0.25">
      <c r="D21" t="s">
        <v>69</v>
      </c>
      <c r="E21" t="str">
        <f t="shared" si="0"/>
        <v>6738 053822652</v>
      </c>
      <c r="H21" t="str">
        <f t="shared" si="1"/>
        <v>6738053822652</v>
      </c>
      <c r="J21" t="s">
        <v>46</v>
      </c>
      <c r="K21" t="s">
        <v>25</v>
      </c>
      <c r="L21" t="s">
        <v>58</v>
      </c>
      <c r="M21" t="s">
        <v>12</v>
      </c>
      <c r="N21" t="s">
        <v>59</v>
      </c>
      <c r="O21" t="s">
        <v>22</v>
      </c>
      <c r="P21" t="s">
        <v>23</v>
      </c>
    </row>
    <row r="22" spans="4:16" x14ac:dyDescent="0.25">
      <c r="D22" t="s">
        <v>70</v>
      </c>
      <c r="E22" t="str">
        <f t="shared" si="0"/>
        <v>7993586431890</v>
      </c>
      <c r="H22" t="str">
        <f t="shared" si="1"/>
        <v>7993586431890</v>
      </c>
      <c r="J22" t="s">
        <v>17</v>
      </c>
      <c r="K22" t="s">
        <v>40</v>
      </c>
      <c r="L22" t="s">
        <v>19</v>
      </c>
      <c r="M22" t="s">
        <v>20</v>
      </c>
      <c r="N22" t="s">
        <v>33</v>
      </c>
      <c r="O22" t="s">
        <v>29</v>
      </c>
      <c r="P22" t="s">
        <v>30</v>
      </c>
    </row>
    <row r="23" spans="4:16" x14ac:dyDescent="0.25">
      <c r="D23" t="s">
        <v>71</v>
      </c>
      <c r="E23" t="str">
        <f t="shared" si="0"/>
        <v>3914740853752</v>
      </c>
      <c r="H23" t="str">
        <f t="shared" si="1"/>
        <v>3914740853752</v>
      </c>
      <c r="J23" t="s">
        <v>46</v>
      </c>
      <c r="K23" t="s">
        <v>18</v>
      </c>
      <c r="L23" t="s">
        <v>26</v>
      </c>
      <c r="M23" t="s">
        <v>27</v>
      </c>
      <c r="N23" t="s">
        <v>41</v>
      </c>
      <c r="O23" t="s">
        <v>22</v>
      </c>
      <c r="P23" t="s">
        <v>30</v>
      </c>
    </row>
    <row r="24" spans="4:16" x14ac:dyDescent="0.25">
      <c r="D24" t="s">
        <v>72</v>
      </c>
      <c r="E24" t="str">
        <f t="shared" si="0"/>
        <v>1072988565677</v>
      </c>
      <c r="H24" t="str">
        <f t="shared" si="1"/>
        <v>1072988565677</v>
      </c>
      <c r="J24" t="s">
        <v>9</v>
      </c>
      <c r="K24" t="s">
        <v>40</v>
      </c>
      <c r="L24" t="s">
        <v>26</v>
      </c>
      <c r="M24" t="s">
        <v>20</v>
      </c>
      <c r="N24" t="s">
        <v>73</v>
      </c>
      <c r="O24" t="s">
        <v>60</v>
      </c>
      <c r="P24" t="s">
        <v>15</v>
      </c>
    </row>
    <row r="25" spans="4:16" x14ac:dyDescent="0.25">
      <c r="D25" t="s">
        <v>74</v>
      </c>
      <c r="E25" t="str">
        <f t="shared" si="0"/>
        <v>8078696909925</v>
      </c>
      <c r="H25" t="str">
        <f t="shared" si="1"/>
        <v>8078696909925</v>
      </c>
      <c r="J25" t="s">
        <v>52</v>
      </c>
      <c r="K25" t="s">
        <v>10</v>
      </c>
      <c r="L25" t="s">
        <v>36</v>
      </c>
      <c r="M25" t="s">
        <v>12</v>
      </c>
      <c r="N25" t="s">
        <v>75</v>
      </c>
      <c r="O25" t="s">
        <v>48</v>
      </c>
      <c r="P25" t="s">
        <v>38</v>
      </c>
    </row>
    <row r="26" spans="4:16" x14ac:dyDescent="0.25">
      <c r="D26" t="s">
        <v>76</v>
      </c>
      <c r="E26" t="str">
        <f t="shared" si="0"/>
        <v>6620 392412678</v>
      </c>
      <c r="H26" t="str">
        <f t="shared" si="1"/>
        <v>6620392412678</v>
      </c>
      <c r="J26" t="s">
        <v>46</v>
      </c>
      <c r="K26" t="s">
        <v>18</v>
      </c>
      <c r="L26" t="s">
        <v>11</v>
      </c>
      <c r="M26" t="s">
        <v>27</v>
      </c>
      <c r="N26" t="s">
        <v>43</v>
      </c>
      <c r="O26" t="s">
        <v>29</v>
      </c>
      <c r="P26" t="s">
        <v>23</v>
      </c>
    </row>
    <row r="27" spans="4:16" x14ac:dyDescent="0.25">
      <c r="D27" t="s">
        <v>77</v>
      </c>
      <c r="E27" t="str">
        <f t="shared" si="0"/>
        <v>6615 395362908</v>
      </c>
      <c r="H27" t="str">
        <f t="shared" si="1"/>
        <v>6615395362908</v>
      </c>
      <c r="J27" t="s">
        <v>46</v>
      </c>
      <c r="K27" t="s">
        <v>10</v>
      </c>
      <c r="L27" t="s">
        <v>58</v>
      </c>
      <c r="M27" t="s">
        <v>27</v>
      </c>
      <c r="N27" t="s">
        <v>78</v>
      </c>
      <c r="O27" t="s">
        <v>14</v>
      </c>
      <c r="P27" t="s">
        <v>44</v>
      </c>
    </row>
    <row r="28" spans="4:16" x14ac:dyDescent="0.25">
      <c r="D28" t="s">
        <v>79</v>
      </c>
      <c r="E28" t="str">
        <f t="shared" si="0"/>
        <v>5784007755964</v>
      </c>
      <c r="H28" t="str">
        <f t="shared" si="1"/>
        <v>5784007755964</v>
      </c>
      <c r="J28" t="s">
        <v>52</v>
      </c>
      <c r="K28" t="s">
        <v>25</v>
      </c>
      <c r="L28" t="s">
        <v>19</v>
      </c>
      <c r="M28" t="s">
        <v>32</v>
      </c>
      <c r="N28" t="s">
        <v>80</v>
      </c>
      <c r="O28" t="s">
        <v>60</v>
      </c>
      <c r="P28" t="s">
        <v>81</v>
      </c>
    </row>
    <row r="29" spans="4:16" x14ac:dyDescent="0.25">
      <c r="D29" t="s">
        <v>82</v>
      </c>
      <c r="E29" t="str">
        <f t="shared" si="0"/>
        <v>6663 498945630</v>
      </c>
      <c r="H29" t="str">
        <f t="shared" si="1"/>
        <v>6663498945630</v>
      </c>
      <c r="J29" t="s">
        <v>46</v>
      </c>
      <c r="K29" t="s">
        <v>25</v>
      </c>
      <c r="L29" t="s">
        <v>11</v>
      </c>
      <c r="M29" t="s">
        <v>32</v>
      </c>
      <c r="N29" t="s">
        <v>83</v>
      </c>
      <c r="O29" t="s">
        <v>48</v>
      </c>
      <c r="P29" t="s">
        <v>15</v>
      </c>
    </row>
    <row r="30" spans="4:16" x14ac:dyDescent="0.25">
      <c r="D30" t="s">
        <v>84</v>
      </c>
      <c r="E30" t="str">
        <f t="shared" si="0"/>
        <v>3550 421682244</v>
      </c>
      <c r="H30" t="str">
        <f t="shared" si="1"/>
        <v>3550421682244</v>
      </c>
      <c r="J30" t="s">
        <v>9</v>
      </c>
      <c r="K30" t="s">
        <v>25</v>
      </c>
      <c r="L30" t="s">
        <v>19</v>
      </c>
      <c r="M30" t="s">
        <v>20</v>
      </c>
      <c r="N30" t="s">
        <v>85</v>
      </c>
      <c r="O30" t="s">
        <v>48</v>
      </c>
      <c r="P30" t="s">
        <v>38</v>
      </c>
    </row>
    <row r="31" spans="4:16" x14ac:dyDescent="0.25">
      <c r="D31" t="s">
        <v>86</v>
      </c>
      <c r="E31" t="str">
        <f t="shared" si="0"/>
        <v>4460537979266</v>
      </c>
      <c r="H31" t="str">
        <f t="shared" si="1"/>
        <v>4460537979266</v>
      </c>
      <c r="J31" t="s">
        <v>46</v>
      </c>
      <c r="K31" t="s">
        <v>18</v>
      </c>
      <c r="L31" t="s">
        <v>19</v>
      </c>
      <c r="M31" t="s">
        <v>12</v>
      </c>
      <c r="N31" t="s">
        <v>41</v>
      </c>
      <c r="O31" t="s">
        <v>34</v>
      </c>
      <c r="P31" t="s">
        <v>23</v>
      </c>
    </row>
    <row r="32" spans="4:16" x14ac:dyDescent="0.25">
      <c r="D32" t="s">
        <v>87</v>
      </c>
      <c r="E32" t="str">
        <f t="shared" si="0"/>
        <v>1508 525075108</v>
      </c>
      <c r="H32" t="str">
        <f t="shared" si="1"/>
        <v>1508525075108</v>
      </c>
      <c r="J32" t="s">
        <v>46</v>
      </c>
      <c r="K32" t="s">
        <v>40</v>
      </c>
      <c r="L32" t="s">
        <v>19</v>
      </c>
      <c r="M32" t="s">
        <v>27</v>
      </c>
      <c r="N32" t="s">
        <v>88</v>
      </c>
      <c r="O32" t="s">
        <v>34</v>
      </c>
      <c r="P32" t="s">
        <v>81</v>
      </c>
    </row>
    <row r="33" spans="4:16" x14ac:dyDescent="0.25">
      <c r="D33" t="s">
        <v>89</v>
      </c>
      <c r="E33" t="str">
        <f t="shared" si="0"/>
        <v>3657421609846</v>
      </c>
      <c r="H33" t="str">
        <f t="shared" si="1"/>
        <v>3657421609846</v>
      </c>
      <c r="J33" t="s">
        <v>52</v>
      </c>
      <c r="K33" t="s">
        <v>40</v>
      </c>
      <c r="L33" t="s">
        <v>19</v>
      </c>
      <c r="M33" t="s">
        <v>27</v>
      </c>
      <c r="N33" t="s">
        <v>90</v>
      </c>
      <c r="O33" t="s">
        <v>60</v>
      </c>
      <c r="P33" t="s">
        <v>30</v>
      </c>
    </row>
    <row r="34" spans="4:16" x14ac:dyDescent="0.25">
      <c r="D34" t="s">
        <v>91</v>
      </c>
      <c r="E34" t="str">
        <f t="shared" si="0"/>
        <v>2946 323440403</v>
      </c>
      <c r="H34" t="str">
        <f t="shared" si="1"/>
        <v>2946323440403</v>
      </c>
      <c r="J34" t="s">
        <v>9</v>
      </c>
      <c r="K34" t="s">
        <v>40</v>
      </c>
      <c r="L34" t="s">
        <v>58</v>
      </c>
      <c r="M34" t="s">
        <v>20</v>
      </c>
      <c r="N34" t="s">
        <v>85</v>
      </c>
      <c r="O34" t="s">
        <v>60</v>
      </c>
      <c r="P34" t="s">
        <v>15</v>
      </c>
    </row>
    <row r="35" spans="4:16" x14ac:dyDescent="0.25">
      <c r="D35" t="s">
        <v>92</v>
      </c>
      <c r="E35" t="str">
        <f t="shared" si="0"/>
        <v>6272917573717</v>
      </c>
      <c r="H35" t="str">
        <f t="shared" si="1"/>
        <v>6272917573717</v>
      </c>
      <c r="J35" t="s">
        <v>55</v>
      </c>
      <c r="K35" t="s">
        <v>10</v>
      </c>
      <c r="L35" t="s">
        <v>36</v>
      </c>
      <c r="M35" t="s">
        <v>12</v>
      </c>
      <c r="N35" t="s">
        <v>62</v>
      </c>
      <c r="O35" t="s">
        <v>34</v>
      </c>
      <c r="P35" t="s">
        <v>15</v>
      </c>
    </row>
    <row r="36" spans="4:16" x14ac:dyDescent="0.25">
      <c r="D36" t="s">
        <v>93</v>
      </c>
      <c r="E36" t="str">
        <f t="shared" si="0"/>
        <v>8900 889675675</v>
      </c>
      <c r="H36" t="str">
        <f t="shared" si="1"/>
        <v>8900889675675</v>
      </c>
      <c r="J36" t="s">
        <v>52</v>
      </c>
      <c r="K36" t="s">
        <v>10</v>
      </c>
      <c r="L36" t="s">
        <v>19</v>
      </c>
      <c r="M36" t="s">
        <v>32</v>
      </c>
      <c r="N36" t="s">
        <v>83</v>
      </c>
      <c r="O36" t="s">
        <v>60</v>
      </c>
      <c r="P36" t="s">
        <v>15</v>
      </c>
    </row>
    <row r="37" spans="4:16" x14ac:dyDescent="0.25">
      <c r="D37" t="s">
        <v>94</v>
      </c>
      <c r="E37" t="str">
        <f t="shared" si="0"/>
        <v>5548661000879</v>
      </c>
      <c r="H37" t="str">
        <f t="shared" si="1"/>
        <v>5548661000879</v>
      </c>
      <c r="J37" t="s">
        <v>9</v>
      </c>
      <c r="K37" t="s">
        <v>40</v>
      </c>
      <c r="L37" t="s">
        <v>26</v>
      </c>
      <c r="M37" t="s">
        <v>12</v>
      </c>
      <c r="N37" t="s">
        <v>83</v>
      </c>
      <c r="O37" t="s">
        <v>60</v>
      </c>
      <c r="P37" t="s">
        <v>15</v>
      </c>
    </row>
    <row r="38" spans="4:16" x14ac:dyDescent="0.25">
      <c r="D38" t="s">
        <v>95</v>
      </c>
      <c r="E38" t="str">
        <f t="shared" si="0"/>
        <v>4620 876229052</v>
      </c>
      <c r="H38" t="str">
        <f t="shared" si="1"/>
        <v>4620876229052</v>
      </c>
      <c r="J38" t="s">
        <v>55</v>
      </c>
      <c r="K38" t="s">
        <v>40</v>
      </c>
      <c r="L38" t="s">
        <v>11</v>
      </c>
      <c r="M38" t="s">
        <v>20</v>
      </c>
      <c r="N38" t="s">
        <v>83</v>
      </c>
      <c r="O38" t="s">
        <v>60</v>
      </c>
      <c r="P38" t="s">
        <v>38</v>
      </c>
    </row>
    <row r="39" spans="4:16" x14ac:dyDescent="0.25">
      <c r="D39" t="s">
        <v>96</v>
      </c>
      <c r="E39" t="str">
        <f t="shared" si="0"/>
        <v>4095 432068303</v>
      </c>
      <c r="H39" t="str">
        <f t="shared" si="1"/>
        <v>4095432068303</v>
      </c>
      <c r="J39" t="s">
        <v>17</v>
      </c>
      <c r="K39" t="s">
        <v>25</v>
      </c>
      <c r="L39" t="s">
        <v>36</v>
      </c>
      <c r="M39" t="s">
        <v>20</v>
      </c>
      <c r="N39" t="s">
        <v>97</v>
      </c>
      <c r="O39" t="s">
        <v>22</v>
      </c>
      <c r="P39" t="s">
        <v>15</v>
      </c>
    </row>
    <row r="40" spans="4:16" x14ac:dyDescent="0.25">
      <c r="D40" t="s">
        <v>98</v>
      </c>
      <c r="E40" t="str">
        <f t="shared" si="0"/>
        <v>1626800488777</v>
      </c>
      <c r="H40" t="str">
        <f t="shared" si="1"/>
        <v>1626800488777</v>
      </c>
      <c r="J40" t="s">
        <v>52</v>
      </c>
      <c r="K40" t="s">
        <v>40</v>
      </c>
      <c r="L40" t="s">
        <v>19</v>
      </c>
      <c r="M40" t="s">
        <v>20</v>
      </c>
      <c r="N40" t="s">
        <v>33</v>
      </c>
      <c r="O40" t="s">
        <v>48</v>
      </c>
      <c r="P40" t="s">
        <v>23</v>
      </c>
    </row>
    <row r="41" spans="4:16" x14ac:dyDescent="0.25">
      <c r="D41" t="s">
        <v>99</v>
      </c>
      <c r="E41" t="str">
        <f t="shared" si="0"/>
        <v>2795391089343</v>
      </c>
      <c r="H41" t="str">
        <f t="shared" si="1"/>
        <v>2795391089343</v>
      </c>
      <c r="J41" t="s">
        <v>55</v>
      </c>
      <c r="K41" t="s">
        <v>40</v>
      </c>
      <c r="L41" t="s">
        <v>11</v>
      </c>
      <c r="M41" t="s">
        <v>12</v>
      </c>
      <c r="N41" t="s">
        <v>66</v>
      </c>
      <c r="O41" t="s">
        <v>22</v>
      </c>
      <c r="P41" t="s">
        <v>44</v>
      </c>
    </row>
    <row r="42" spans="4:16" x14ac:dyDescent="0.25">
      <c r="D42" t="s">
        <v>100</v>
      </c>
      <c r="E42" t="str">
        <f t="shared" si="0"/>
        <v>4703 935237135</v>
      </c>
      <c r="H42" t="str">
        <f t="shared" si="1"/>
        <v>4703935237135</v>
      </c>
      <c r="J42" t="s">
        <v>52</v>
      </c>
      <c r="K42" t="s">
        <v>10</v>
      </c>
      <c r="L42" t="s">
        <v>58</v>
      </c>
      <c r="M42" t="s">
        <v>27</v>
      </c>
      <c r="N42" t="s">
        <v>78</v>
      </c>
      <c r="O42" t="s">
        <v>14</v>
      </c>
      <c r="P42" t="s">
        <v>44</v>
      </c>
    </row>
    <row r="43" spans="4:16" x14ac:dyDescent="0.25">
      <c r="D43" t="s">
        <v>101</v>
      </c>
      <c r="E43" t="str">
        <f t="shared" si="0"/>
        <v>9166631329792</v>
      </c>
      <c r="H43" t="str">
        <f t="shared" si="1"/>
        <v>9166631329792</v>
      </c>
      <c r="J43" t="s">
        <v>17</v>
      </c>
      <c r="K43" t="s">
        <v>25</v>
      </c>
      <c r="L43" t="s">
        <v>58</v>
      </c>
      <c r="M43" t="s">
        <v>32</v>
      </c>
      <c r="N43" t="s">
        <v>75</v>
      </c>
      <c r="O43" t="s">
        <v>60</v>
      </c>
      <c r="P43" t="s">
        <v>44</v>
      </c>
    </row>
    <row r="44" spans="4:16" x14ac:dyDescent="0.25">
      <c r="D44" t="s">
        <v>102</v>
      </c>
      <c r="E44" t="str">
        <f t="shared" si="0"/>
        <v>6890144482094</v>
      </c>
      <c r="H44" t="str">
        <f t="shared" si="1"/>
        <v>6890144482094</v>
      </c>
      <c r="J44" t="s">
        <v>52</v>
      </c>
      <c r="K44" t="s">
        <v>18</v>
      </c>
      <c r="L44" t="s">
        <v>11</v>
      </c>
      <c r="M44" t="s">
        <v>12</v>
      </c>
      <c r="N44" t="s">
        <v>21</v>
      </c>
      <c r="O44" t="s">
        <v>14</v>
      </c>
      <c r="P44" t="s">
        <v>30</v>
      </c>
    </row>
    <row r="45" spans="4:16" x14ac:dyDescent="0.25">
      <c r="D45" t="s">
        <v>103</v>
      </c>
      <c r="E45" t="str">
        <f t="shared" si="0"/>
        <v>9177 743215648</v>
      </c>
      <c r="H45" t="str">
        <f t="shared" si="1"/>
        <v>9177743215648</v>
      </c>
      <c r="J45" t="s">
        <v>46</v>
      </c>
      <c r="K45" t="s">
        <v>18</v>
      </c>
      <c r="L45" t="s">
        <v>36</v>
      </c>
      <c r="M45" t="s">
        <v>32</v>
      </c>
      <c r="N45" t="s">
        <v>28</v>
      </c>
      <c r="O45" t="s">
        <v>22</v>
      </c>
      <c r="P45" t="s">
        <v>44</v>
      </c>
    </row>
    <row r="46" spans="4:16" x14ac:dyDescent="0.25">
      <c r="D46" t="s">
        <v>104</v>
      </c>
      <c r="E46" t="str">
        <f t="shared" si="0"/>
        <v>5951254961239</v>
      </c>
      <c r="H46" t="str">
        <f t="shared" si="1"/>
        <v>5951254961239</v>
      </c>
      <c r="J46" t="s">
        <v>17</v>
      </c>
      <c r="K46" t="s">
        <v>18</v>
      </c>
      <c r="L46" t="s">
        <v>36</v>
      </c>
      <c r="M46" t="s">
        <v>32</v>
      </c>
      <c r="N46" t="s">
        <v>88</v>
      </c>
      <c r="O46" t="s">
        <v>22</v>
      </c>
      <c r="P46" t="s">
        <v>30</v>
      </c>
    </row>
    <row r="47" spans="4:16" x14ac:dyDescent="0.25">
      <c r="D47" t="s">
        <v>105</v>
      </c>
      <c r="E47" t="str">
        <f t="shared" si="0"/>
        <v>5957656469295</v>
      </c>
      <c r="H47" t="str">
        <f t="shared" si="1"/>
        <v>5957656469295</v>
      </c>
      <c r="J47" t="s">
        <v>52</v>
      </c>
      <c r="K47" t="s">
        <v>40</v>
      </c>
      <c r="L47" t="s">
        <v>26</v>
      </c>
      <c r="M47" t="s">
        <v>27</v>
      </c>
      <c r="N47" t="s">
        <v>83</v>
      </c>
      <c r="O47" t="s">
        <v>60</v>
      </c>
      <c r="P47" t="s">
        <v>30</v>
      </c>
    </row>
    <row r="48" spans="4:16" x14ac:dyDescent="0.25">
      <c r="D48" t="s">
        <v>106</v>
      </c>
      <c r="E48" t="str">
        <f t="shared" si="0"/>
        <v>7426141580150</v>
      </c>
      <c r="H48" t="str">
        <f t="shared" si="1"/>
        <v>7426141580150</v>
      </c>
      <c r="J48" t="s">
        <v>17</v>
      </c>
      <c r="K48" t="s">
        <v>25</v>
      </c>
      <c r="L48" t="s">
        <v>58</v>
      </c>
      <c r="M48" t="s">
        <v>32</v>
      </c>
      <c r="N48" t="s">
        <v>73</v>
      </c>
      <c r="O48" t="s">
        <v>14</v>
      </c>
      <c r="P48" t="s">
        <v>30</v>
      </c>
    </row>
    <row r="49" spans="4:16" x14ac:dyDescent="0.25">
      <c r="D49" t="s">
        <v>107</v>
      </c>
      <c r="E49" t="str">
        <f t="shared" si="0"/>
        <v>9715003168912</v>
      </c>
      <c r="H49" t="str">
        <f t="shared" si="1"/>
        <v>9715003168912</v>
      </c>
      <c r="J49" t="s">
        <v>9</v>
      </c>
      <c r="K49" t="s">
        <v>18</v>
      </c>
      <c r="L49" t="s">
        <v>11</v>
      </c>
      <c r="M49" t="s">
        <v>12</v>
      </c>
      <c r="N49" t="s">
        <v>108</v>
      </c>
      <c r="O49" t="s">
        <v>34</v>
      </c>
      <c r="P49" t="s">
        <v>23</v>
      </c>
    </row>
    <row r="50" spans="4:16" x14ac:dyDescent="0.25">
      <c r="D50" t="s">
        <v>109</v>
      </c>
      <c r="E50" t="str">
        <f t="shared" si="0"/>
        <v>9085 470421811</v>
      </c>
      <c r="H50" t="str">
        <f t="shared" si="1"/>
        <v>9085470421811</v>
      </c>
      <c r="J50" t="s">
        <v>55</v>
      </c>
      <c r="K50" t="s">
        <v>40</v>
      </c>
      <c r="L50" t="s">
        <v>26</v>
      </c>
      <c r="M50" t="s">
        <v>12</v>
      </c>
      <c r="N50" t="s">
        <v>110</v>
      </c>
      <c r="O50" t="s">
        <v>29</v>
      </c>
      <c r="P50" t="s">
        <v>15</v>
      </c>
    </row>
    <row r="51" spans="4:16" x14ac:dyDescent="0.25">
      <c r="D51" t="s">
        <v>111</v>
      </c>
      <c r="E51" t="str">
        <f t="shared" si="0"/>
        <v>2071951315973</v>
      </c>
      <c r="H51" t="str">
        <f t="shared" si="1"/>
        <v>2071951315973</v>
      </c>
      <c r="J51" t="s">
        <v>46</v>
      </c>
      <c r="K51" t="s">
        <v>25</v>
      </c>
      <c r="L51" t="s">
        <v>19</v>
      </c>
      <c r="M51" t="s">
        <v>12</v>
      </c>
      <c r="N51" t="s">
        <v>37</v>
      </c>
      <c r="O51" t="s">
        <v>60</v>
      </c>
      <c r="P51" t="s">
        <v>23</v>
      </c>
    </row>
    <row r="52" spans="4:16" x14ac:dyDescent="0.25">
      <c r="D52" t="s">
        <v>112</v>
      </c>
      <c r="E52" t="str">
        <f t="shared" si="0"/>
        <v>2913712964225</v>
      </c>
      <c r="H52" t="str">
        <f t="shared" si="1"/>
        <v>2913712964225</v>
      </c>
      <c r="J52" t="s">
        <v>55</v>
      </c>
      <c r="K52" t="s">
        <v>18</v>
      </c>
      <c r="L52" t="s">
        <v>36</v>
      </c>
      <c r="M52" t="s">
        <v>20</v>
      </c>
      <c r="N52" t="s">
        <v>21</v>
      </c>
      <c r="O52" t="s">
        <v>34</v>
      </c>
      <c r="P52" t="s">
        <v>81</v>
      </c>
    </row>
    <row r="53" spans="4:16" x14ac:dyDescent="0.25">
      <c r="D53" t="s">
        <v>113</v>
      </c>
      <c r="E53" t="str">
        <f t="shared" si="0"/>
        <v>4492244427100</v>
      </c>
      <c r="H53" t="str">
        <f t="shared" si="1"/>
        <v>4492244427100</v>
      </c>
      <c r="J53" t="s">
        <v>55</v>
      </c>
      <c r="K53" t="s">
        <v>25</v>
      </c>
      <c r="L53" t="s">
        <v>26</v>
      </c>
      <c r="M53" t="s">
        <v>27</v>
      </c>
      <c r="N53" t="s">
        <v>108</v>
      </c>
      <c r="O53" t="s">
        <v>34</v>
      </c>
      <c r="P53" t="s">
        <v>30</v>
      </c>
    </row>
    <row r="54" spans="4:16" x14ac:dyDescent="0.25">
      <c r="D54" t="s">
        <v>114</v>
      </c>
      <c r="E54" t="str">
        <f t="shared" si="0"/>
        <v>3545 291376323</v>
      </c>
      <c r="H54" t="str">
        <f t="shared" si="1"/>
        <v>3545291376323</v>
      </c>
      <c r="J54" t="s">
        <v>52</v>
      </c>
      <c r="K54" t="s">
        <v>25</v>
      </c>
      <c r="L54" t="s">
        <v>19</v>
      </c>
      <c r="M54" t="s">
        <v>27</v>
      </c>
      <c r="N54" t="s">
        <v>21</v>
      </c>
      <c r="O54" t="s">
        <v>48</v>
      </c>
      <c r="P54" t="s">
        <v>38</v>
      </c>
    </row>
  </sheetData>
  <mergeCells count="2">
    <mergeCell ref="A1:G1"/>
    <mergeCell ref="L1:R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C19377-9A49-46AD-BFC3-BC20648ABD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Encuesta_Sucia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 Xivir</cp:lastModifiedBy>
  <dcterms:created xsi:type="dcterms:W3CDTF">2026-03-19T19:33:37Z</dcterms:created>
  <dcterms:modified xsi:type="dcterms:W3CDTF">2026-03-20T16:42:09Z</dcterms:modified>
</cp:coreProperties>
</file>