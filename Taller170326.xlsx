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vir\Downloads\Mercedes\MVP\PonenciaCursosLibre\"/>
    </mc:Choice>
  </mc:AlternateContent>
  <xr:revisionPtr revIDLastSave="0" documentId="13_ncr:1_{EAA97CA8-6ED9-4D19-9823-ECA653FB663B}" xr6:coauthVersionLast="47" xr6:coauthVersionMax="47" xr10:uidLastSave="{00000000-0000-0000-0000-000000000000}"/>
  <bookViews>
    <workbookView xWindow="-120" yWindow="-120" windowWidth="20730" windowHeight="11040" xr2:uid="{744B0D13-3E6C-4F6D-A86B-ED23D55BEE6F}"/>
  </bookViews>
  <sheets>
    <sheet name="FormulasModernas" sheetId="1" r:id="rId1"/>
    <sheet name="Complemento" sheetId="3" r:id="rId2"/>
    <sheet name="Hoja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H9" i="1"/>
  <c r="H6" i="1"/>
  <c r="H7" i="1"/>
  <c r="X5" i="1" a="1"/>
  <c r="X5" i="1" s="1"/>
  <c r="A1" i="2" a="1"/>
  <c r="A1" i="2" s="1"/>
  <c r="P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<sst xmlns="http://schemas.openxmlformats.org/spreadsheetml/2006/main" count="66" uniqueCount="33">
  <si>
    <t>Nombre</t>
  </si>
  <si>
    <t>Departamento</t>
  </si>
  <si>
    <t>Buscar V</t>
  </si>
  <si>
    <t>Buscar X</t>
  </si>
  <si>
    <t>ID</t>
  </si>
  <si>
    <t>Ciudad</t>
  </si>
  <si>
    <t>Luis</t>
  </si>
  <si>
    <t xml:space="preserve">Mercedes </t>
  </si>
  <si>
    <t>Eddy</t>
  </si>
  <si>
    <t>Salvador</t>
  </si>
  <si>
    <t>Xela</t>
  </si>
  <si>
    <t>Jalapa</t>
  </si>
  <si>
    <t>Sololá</t>
  </si>
  <si>
    <t>MERCEDES QUEME</t>
  </si>
  <si>
    <t>Carlos</t>
  </si>
  <si>
    <t>Karla</t>
  </si>
  <si>
    <t>Totonicapan</t>
  </si>
  <si>
    <t>Pablo</t>
  </si>
  <si>
    <t>https://www.youtube.com/@MercedesQueme</t>
  </si>
  <si>
    <t>Guatemala</t>
  </si>
  <si>
    <t>Marcela</t>
  </si>
  <si>
    <t>Que departamento es originaria Mercedes?</t>
  </si>
  <si>
    <t>Juan</t>
  </si>
  <si>
    <t>Quiché</t>
  </si>
  <si>
    <t>Guadalupe</t>
  </si>
  <si>
    <t>Santa Rosa</t>
  </si>
  <si>
    <t>Quetzaltenango</t>
  </si>
  <si>
    <t>De que departamento tenemos más audiencia?</t>
  </si>
  <si>
    <t>Lucas</t>
  </si>
  <si>
    <t>https://www.microsoft.com/en-us/microsoft-365/blog/2015/09/10/integrating-power-query-technology-in-excel-2016/</t>
  </si>
  <si>
    <t>Peten</t>
  </si>
  <si>
    <t>Pamela</t>
  </si>
  <si>
    <t>Zacapa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</si>
</sst>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b/>
      <sz val="16"/>
      <color theme="8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4" borderId="0" xfId="1" applyAlignment="1">
      <alignment horizontal="center" vertical="center" wrapText="1"/>
    </xf>
    <xf numFmtId="0" fontId="6" fillId="0" borderId="0" xfId="2"/>
    <xf numFmtId="0" fontId="7" fillId="0" borderId="0" xfId="0" applyFont="1"/>
    <xf numFmtId="0" fontId="8" fillId="0" borderId="0" xfId="0" applyFont="1"/>
    <xf numFmtId="0" fontId="3" fillId="2" borderId="0" xfId="0" applyFont="1" applyFill="1" applyAlignment="1">
      <alignment horizontal="center" vertical="center"/>
    </xf>
  </cellXfs>
  <cellStyles count="3">
    <cellStyle name="Énfasis5" xfId="1" builtinId="45"/>
    <cellStyle name="Hipervínculo" xfId="2" builtinId="8"/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5</xdr:row>
      <xdr:rowOff>9525</xdr:rowOff>
    </xdr:from>
    <xdr:to>
      <xdr:col>5</xdr:col>
      <xdr:colOff>676275</xdr:colOff>
      <xdr:row>13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B5DB6B-DA0E-7852-75F0-A50513C3F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09650"/>
          <a:ext cx="1524000" cy="15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752475</xdr:colOff>
      <xdr:row>5</xdr:row>
      <xdr:rowOff>28575</xdr:rowOff>
    </xdr:from>
    <xdr:to>
      <xdr:col>7</xdr:col>
      <xdr:colOff>723900</xdr:colOff>
      <xdr:row>13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389F9D-A354-087D-0FEE-D9EA68A25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5" y="981075"/>
          <a:ext cx="1495425" cy="14954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B9DB6-4EE4-41D5-844D-A593F4CCCFF0}" name="tbV" displayName="tbV" ref="K6:M10" totalsRowShown="0" headerRowDxfId="10" dataDxfId="9" headerRowCellStyle="Énfasis5">
  <autoFilter ref="K6:M10" xr:uid="{2AAB9DB6-4EE4-41D5-844D-A593F4CCCFF0}"/>
  <tableColumns count="3">
    <tableColumn id="1" xr3:uid="{FEE18029-C778-4FD6-8B86-6BFF91C82883}" name="ID" dataDxfId="8"/>
    <tableColumn id="2" xr3:uid="{D8321245-6127-470C-A3EF-E6D75657AF91}" name="Nombre" dataDxfId="7"/>
    <tableColumn id="3" xr3:uid="{72F37A7D-9C28-4DB7-B038-955EB40100BA}" name="Ciudad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91C4A2-0EDF-4410-920A-A524BE935D30}" name="tbX" displayName="tbX" ref="C6:E13" totalsRowShown="0" headerRowCellStyle="Énfasis5">
  <autoFilter ref="C6:E13" xr:uid="{7891C4A2-0EDF-4410-920A-A524BE935D30}"/>
  <tableColumns count="3">
    <tableColumn id="1" xr3:uid="{07844A98-3660-415A-959A-E15AAD3BC680}" name="Nombre"/>
    <tableColumn id="2" xr3:uid="{ACE3272E-384F-40A9-9D3B-69D8646D0D10}" name="ID"/>
    <tableColumn id="3" xr3:uid="{0AB7D847-BA66-4618-B30F-BB84C4590397}" name="Ciudad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C75ADC-DB1C-422A-A1A6-D4408E9B182C}" name="tbFiltro" displayName="tbFiltro" ref="S5:U16" totalsRowShown="0" headerRowDxfId="4" dataDxfId="3" headerRowCellStyle="Énfasis5">
  <autoFilter ref="S5:U16" xr:uid="{FEC75ADC-DB1C-422A-A1A6-D4408E9B182C}"/>
  <tableColumns count="3">
    <tableColumn id="1" xr3:uid="{D8750FD2-98AD-4C45-8C83-822C1F3C02C5}" name="ID" dataDxfId="2"/>
    <tableColumn id="2" xr3:uid="{911EE001-5EBF-49F4-B42E-38D211AF0A40}" name="Nombre" dataDxfId="1"/>
    <tableColumn id="3" xr3:uid="{94D86A9B-52F8-41C2-8FDC-952BAD7C6ACD}" name="Ciuda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147E21-A6BE-476B-81DA-56FE61F4FC32}">
  <we:reference id="wa104051163" version="1.2.0.3" store="es-ES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@MercedesQueme" TargetMode="External"/><Relationship Id="rId1" Type="http://schemas.openxmlformats.org/officeDocument/2006/relationships/hyperlink" Target="https://www.microsoft.com/en-us/microsoft-365/blog/2015/09/10/integrating-power-query-technology-in-excel-20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3B95-2304-4092-A5BF-D615B46C0812}">
  <dimension ref="A1:Z16"/>
  <sheetViews>
    <sheetView showGridLines="0" tabSelected="1" zoomScale="98" zoomScaleNormal="98" workbookViewId="0">
      <selection activeCell="F15" sqref="F15"/>
    </sheetView>
  </sheetViews>
  <sheetFormatPr baseColWidth="10" defaultRowHeight="15" outlineLevelCol="1" x14ac:dyDescent="0.25"/>
  <cols>
    <col min="5" max="5" width="16.28515625" customWidth="1"/>
    <col min="10" max="16" width="11.42578125" customWidth="1" outlineLevel="1"/>
    <col min="19" max="20" width="11.42578125" customWidth="1" outlineLevel="1"/>
    <col min="21" max="21" width="12" customWidth="1" outlineLevel="1"/>
    <col min="22" max="22" width="11.42578125" customWidth="1" outlineLevel="1"/>
    <col min="23" max="23" width="13.5703125" customWidth="1" outlineLevel="1"/>
    <col min="24" max="26" width="11.42578125" customWidth="1" outlineLevel="1"/>
  </cols>
  <sheetData>
    <row r="1" spans="1:26" s="6" customFormat="1" ht="35.25" customHeight="1" x14ac:dyDescent="0.25">
      <c r="A1" s="13" t="s">
        <v>13</v>
      </c>
      <c r="B1" s="13"/>
      <c r="C1" s="13"/>
      <c r="D1" s="13"/>
      <c r="E1" s="13"/>
      <c r="F1" s="13"/>
      <c r="G1" s="13"/>
      <c r="L1" s="13" t="s">
        <v>13</v>
      </c>
      <c r="M1" s="13"/>
      <c r="N1" s="13"/>
      <c r="O1" s="13"/>
      <c r="P1" s="13"/>
      <c r="Q1" s="13"/>
      <c r="R1" s="13"/>
    </row>
    <row r="3" spans="1:26" ht="21" x14ac:dyDescent="0.35">
      <c r="C3" s="12" t="s">
        <v>21</v>
      </c>
      <c r="S3" s="12" t="s">
        <v>27</v>
      </c>
    </row>
    <row r="4" spans="1:26" x14ac:dyDescent="0.25">
      <c r="W4" s="7" t="s">
        <v>1</v>
      </c>
      <c r="X4" s="7" t="s">
        <v>12</v>
      </c>
    </row>
    <row r="5" spans="1:26" ht="18.75" x14ac:dyDescent="0.3">
      <c r="F5" s="5"/>
      <c r="H5" s="7" t="s">
        <v>4</v>
      </c>
      <c r="I5" s="7">
        <v>106</v>
      </c>
      <c r="O5" s="7" t="s">
        <v>4</v>
      </c>
      <c r="P5" s="7">
        <v>101</v>
      </c>
      <c r="S5" s="9" t="s">
        <v>4</v>
      </c>
      <c r="T5" s="9" t="s">
        <v>0</v>
      </c>
      <c r="U5" s="9" t="s">
        <v>5</v>
      </c>
      <c r="V5" s="1"/>
      <c r="W5" s="8"/>
      <c r="X5" cm="1">
        <f t="array" ref="X5:Z5">_xlfn._xlws.FILTER(tbFiltro[],tbFiltro[Ciudad]=$X$4)</f>
        <v>103</v>
      </c>
      <c r="Y5" t="str">
        <v>Salvador</v>
      </c>
      <c r="Z5" t="str">
        <v>Sololá</v>
      </c>
    </row>
    <row r="6" spans="1:26" x14ac:dyDescent="0.25">
      <c r="C6" s="9" t="s">
        <v>0</v>
      </c>
      <c r="D6" s="9" t="s">
        <v>4</v>
      </c>
      <c r="E6" s="9" t="s">
        <v>5</v>
      </c>
      <c r="G6" s="3" t="s">
        <v>2</v>
      </c>
      <c r="H6" t="e">
        <f>VLOOKUP($I$5,tbX[],2,0)</f>
        <v>#N/A</v>
      </c>
      <c r="K6" s="9" t="s">
        <v>4</v>
      </c>
      <c r="L6" s="9" t="s">
        <v>0</v>
      </c>
      <c r="M6" s="9" t="s">
        <v>5</v>
      </c>
      <c r="N6" s="1"/>
      <c r="O6" s="3" t="s">
        <v>2</v>
      </c>
      <c r="P6" t="e">
        <f>VLOOKUP($I$5,K7:M10,2,0)</f>
        <v>#N/A</v>
      </c>
      <c r="S6" s="2">
        <v>101</v>
      </c>
      <c r="T6" s="2" t="s">
        <v>7</v>
      </c>
      <c r="U6" s="2" t="s">
        <v>10</v>
      </c>
      <c r="V6" s="2"/>
    </row>
    <row r="7" spans="1:26" ht="18.75" x14ac:dyDescent="0.3">
      <c r="C7" s="2" t="s">
        <v>7</v>
      </c>
      <c r="D7" s="2">
        <v>101</v>
      </c>
      <c r="E7" s="2" t="s">
        <v>26</v>
      </c>
      <c r="F7" s="2"/>
      <c r="G7" s="4" t="s">
        <v>3</v>
      </c>
      <c r="H7" s="11" t="str">
        <f>_xlfn.XLOOKUP($I$5,tbX[ID],tbX[Ciudad])</f>
        <v>Peten</v>
      </c>
      <c r="K7" s="2">
        <v>101</v>
      </c>
      <c r="L7" s="2" t="s">
        <v>7</v>
      </c>
      <c r="M7" s="2" t="s">
        <v>10</v>
      </c>
      <c r="N7" s="2"/>
      <c r="O7" t="str">
        <f>VLOOKUP(P5,tbV[],3,0)</f>
        <v>Xela</v>
      </c>
      <c r="S7" s="2">
        <v>102</v>
      </c>
      <c r="T7" s="2" t="s">
        <v>8</v>
      </c>
      <c r="U7" s="2" t="s">
        <v>11</v>
      </c>
      <c r="V7" s="2"/>
    </row>
    <row r="8" spans="1:26" x14ac:dyDescent="0.25">
      <c r="C8" s="2" t="s">
        <v>8</v>
      </c>
      <c r="D8" s="2">
        <v>102</v>
      </c>
      <c r="E8" s="2" t="s">
        <v>19</v>
      </c>
      <c r="F8" s="2"/>
      <c r="K8" s="2">
        <v>102</v>
      </c>
      <c r="L8" s="2" t="s">
        <v>8</v>
      </c>
      <c r="M8" s="2" t="s">
        <v>19</v>
      </c>
      <c r="N8" s="2"/>
      <c r="S8" s="2">
        <v>103</v>
      </c>
      <c r="T8" s="2" t="s">
        <v>9</v>
      </c>
      <c r="U8" s="2" t="s">
        <v>12</v>
      </c>
      <c r="V8" s="2"/>
    </row>
    <row r="9" spans="1:26" x14ac:dyDescent="0.25">
      <c r="C9" s="2" t="s">
        <v>9</v>
      </c>
      <c r="D9" s="2">
        <v>103</v>
      </c>
      <c r="E9" s="2" t="s">
        <v>12</v>
      </c>
      <c r="F9" s="2"/>
      <c r="H9" t="str">
        <f>_xlfn.XLOOKUP(I5,tbX[ID],tbX[Ciudad])</f>
        <v>Peten</v>
      </c>
      <c r="K9" s="2">
        <v>103</v>
      </c>
      <c r="L9" s="2" t="s">
        <v>9</v>
      </c>
      <c r="M9" s="2" t="s">
        <v>12</v>
      </c>
      <c r="N9" s="2"/>
      <c r="S9" s="2">
        <v>104</v>
      </c>
      <c r="T9" s="2" t="s">
        <v>14</v>
      </c>
      <c r="U9" s="2" t="s">
        <v>10</v>
      </c>
      <c r="V9" s="2"/>
    </row>
    <row r="10" spans="1:26" x14ac:dyDescent="0.25">
      <c r="C10" t="s">
        <v>20</v>
      </c>
      <c r="D10">
        <v>104</v>
      </c>
      <c r="E10" t="s">
        <v>11</v>
      </c>
      <c r="K10" s="2">
        <v>104</v>
      </c>
      <c r="L10" s="2" t="s">
        <v>20</v>
      </c>
      <c r="M10" s="2" t="s">
        <v>11</v>
      </c>
      <c r="S10" s="2">
        <v>105</v>
      </c>
      <c r="T10" s="2" t="s">
        <v>15</v>
      </c>
      <c r="U10" s="2" t="s">
        <v>10</v>
      </c>
    </row>
    <row r="11" spans="1:26" x14ac:dyDescent="0.25">
      <c r="C11" t="s">
        <v>22</v>
      </c>
      <c r="D11">
        <v>105</v>
      </c>
      <c r="E11" s="2" t="s">
        <v>23</v>
      </c>
      <c r="S11" s="2">
        <v>106</v>
      </c>
      <c r="T11" s="2" t="s">
        <v>24</v>
      </c>
      <c r="U11" s="2" t="s">
        <v>10</v>
      </c>
    </row>
    <row r="12" spans="1:26" x14ac:dyDescent="0.25">
      <c r="C12" t="s">
        <v>15</v>
      </c>
      <c r="D12">
        <v>106</v>
      </c>
      <c r="E12" s="2" t="s">
        <v>30</v>
      </c>
      <c r="S12" s="2">
        <v>107</v>
      </c>
      <c r="T12" s="2" t="s">
        <v>6</v>
      </c>
      <c r="U12" s="2" t="s">
        <v>25</v>
      </c>
    </row>
    <row r="13" spans="1:26" ht="30" x14ac:dyDescent="0.25">
      <c r="C13" t="s">
        <v>31</v>
      </c>
      <c r="D13">
        <v>107</v>
      </c>
      <c r="E13" s="2" t="s">
        <v>32</v>
      </c>
      <c r="S13" s="2">
        <v>108</v>
      </c>
      <c r="T13" s="2" t="s">
        <v>17</v>
      </c>
      <c r="U13" s="2" t="s">
        <v>16</v>
      </c>
    </row>
    <row r="14" spans="1:26" x14ac:dyDescent="0.25">
      <c r="S14" s="2">
        <v>109</v>
      </c>
      <c r="T14" s="2" t="s">
        <v>22</v>
      </c>
      <c r="U14" s="2" t="s">
        <v>25</v>
      </c>
    </row>
    <row r="15" spans="1:26" x14ac:dyDescent="0.25">
      <c r="S15" s="2">
        <v>110</v>
      </c>
      <c r="T15" s="2" t="s">
        <v>28</v>
      </c>
      <c r="U15" s="2" t="s">
        <v>11</v>
      </c>
    </row>
    <row r="16" spans="1:26" x14ac:dyDescent="0.25">
      <c r="S16" s="2">
        <v>111</v>
      </c>
      <c r="T16" s="2" t="s">
        <v>15</v>
      </c>
      <c r="U16" s="2" t="s">
        <v>25</v>
      </c>
    </row>
  </sheetData>
  <mergeCells count="2">
    <mergeCell ref="A1:G1"/>
    <mergeCell ref="L1:R1"/>
  </mergeCells>
  <phoneticPr fontId="2" type="noConversion"/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A881144-3B0F-40F1-BDE7-EF84F772727A}">
          <x14:formula1>
            <xm:f>_xlfn.ANCHORARRAY(Hoja2!$A$1)</xm:f>
          </x14:formula1>
          <xm:sqref>X4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2D8C-71C7-4099-A470-7AC706F30DA0}">
  <dimension ref="A3:S13"/>
  <sheetViews>
    <sheetView showGridLines="0" workbookViewId="0">
      <selection activeCell="I5" sqref="I5"/>
    </sheetView>
  </sheetViews>
  <sheetFormatPr baseColWidth="10" defaultRowHeight="15" x14ac:dyDescent="0.25"/>
  <sheetData>
    <row r="3" spans="1:19" x14ac:dyDescent="0.25">
      <c r="S3" s="10" t="s">
        <v>29</v>
      </c>
    </row>
    <row r="4" spans="1:19" x14ac:dyDescent="0.25">
      <c r="D4" s="10" t="s">
        <v>18</v>
      </c>
    </row>
    <row r="13" spans="1:19" x14ac:dyDescent="0.25">
      <c r="A13" s="10"/>
    </row>
  </sheetData>
  <hyperlinks>
    <hyperlink ref="S3" r:id="rId1" xr:uid="{B809AFA9-EC48-4B07-890E-7E15E3DA306D}"/>
    <hyperlink ref="D4" r:id="rId2" xr:uid="{81724E3C-B1B6-4BBF-B2FD-2D6ECA584924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30ED-C396-4665-85C4-58E154B90998}">
  <dimension ref="A1:A5"/>
  <sheetViews>
    <sheetView workbookViewId="0">
      <selection activeCell="C1" sqref="C1"/>
    </sheetView>
  </sheetViews>
  <sheetFormatPr baseColWidth="10" defaultRowHeight="15" x14ac:dyDescent="0.25"/>
  <sheetData>
    <row r="1" spans="1:1" x14ac:dyDescent="0.25">
      <c r="A1" t="str" cm="1">
        <f t="array" ref="A1:A5">_xlfn.UNIQUE(tbFiltro[Ciudad])</f>
        <v>Xela</v>
      </c>
    </row>
    <row r="2" spans="1:1" x14ac:dyDescent="0.25">
      <c r="A2" t="str">
        <v>Jalapa</v>
      </c>
    </row>
    <row r="3" spans="1:1" x14ac:dyDescent="0.25">
      <c r="A3" t="str">
        <v>Sololá</v>
      </c>
    </row>
    <row r="4" spans="1:1" x14ac:dyDescent="0.25">
      <c r="A4" t="str">
        <v>Santa Rosa</v>
      </c>
    </row>
    <row r="5" spans="1:1" x14ac:dyDescent="0.25">
      <c r="A5" t="str">
        <v>Totonicapan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A3C5C-6C3E-41FF-80C6-255F9A98AF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FormulasModernas</vt:lpstr>
      <vt:lpstr>Complemento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Xivir</dc:creator>
  <cp:lastModifiedBy>Alma Xivir</cp:lastModifiedBy>
  <dcterms:created xsi:type="dcterms:W3CDTF">2026-03-16T16:18:24Z</dcterms:created>
  <dcterms:modified xsi:type="dcterms:W3CDTF">2026-03-20T16:38:52Z</dcterms:modified>
</cp:coreProperties>
</file>